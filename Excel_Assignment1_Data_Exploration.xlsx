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<sst xmlns="http://schemas.openxmlformats.org/spreadsheetml/2006/main" count="138" uniqueCount="107">
  <si>
    <t xml:space="preserve">Product ID</t>
  </si>
  <si>
    <t xml:space="preserve">Product Name</t>
  </si>
  <si>
    <t xml:space="preserve">Brand Name</t>
  </si>
  <si>
    <t xml:space="preserve">Quantity</t>
  </si>
  <si>
    <t xml:space="preserve">Category</t>
  </si>
  <si>
    <t xml:space="preserve">Price ($)</t>
  </si>
  <si>
    <t xml:space="preserve">Price Range</t>
  </si>
  <si>
    <t xml:space="preserve">Day</t>
  </si>
  <si>
    <t xml:space="preserve">Country Code</t>
  </si>
  <si>
    <t xml:space="preserve">Month</t>
  </si>
  <si>
    <t xml:space="preserve">05-JAN-US</t>
  </si>
  <si>
    <t xml:space="preserve">Wireless Mouse</t>
  </si>
  <si>
    <t xml:space="preserve">Logitech</t>
  </si>
  <si>
    <t xml:space="preserve">Electronics</t>
  </si>
  <si>
    <t xml:space="preserve">12-JAN-IN</t>
  </si>
  <si>
    <t xml:space="preserve">Bluetooth Speaker</t>
  </si>
  <si>
    <t xml:space="preserve">boAt</t>
  </si>
  <si>
    <t xml:space="preserve">18-JAN-UK</t>
  </si>
  <si>
    <t xml:space="preserve">Cotton T-Shirt</t>
  </si>
  <si>
    <t xml:space="preserve">H&amp;M</t>
  </si>
  <si>
    <t xml:space="preserve">Clothing</t>
  </si>
  <si>
    <t xml:space="preserve">22-JAN-US</t>
  </si>
  <si>
    <t xml:space="preserve">Office Chair</t>
  </si>
  <si>
    <t xml:space="preserve">IKEA</t>
  </si>
  <si>
    <t xml:space="preserve">Furniture</t>
  </si>
  <si>
    <t xml:space="preserve">29-JAN-CA</t>
  </si>
  <si>
    <t xml:space="preserve">LED Desk Lamp</t>
  </si>
  <si>
    <t xml:space="preserve">Philips</t>
  </si>
  <si>
    <t xml:space="preserve">03-FEB-US</t>
  </si>
  <si>
    <t xml:space="preserve">Laptop Stand</t>
  </si>
  <si>
    <t xml:space="preserve">AmazonBasics</t>
  </si>
  <si>
    <t xml:space="preserve">09-FEB-IN</t>
  </si>
  <si>
    <t xml:space="preserve">Running Shoes</t>
  </si>
  <si>
    <t xml:space="preserve">Puma</t>
  </si>
  <si>
    <t xml:space="preserve">14-FEB-AU</t>
  </si>
  <si>
    <t xml:space="preserve">Smart Watch</t>
  </si>
  <si>
    <t xml:space="preserve">Noise</t>
  </si>
  <si>
    <t xml:space="preserve">19-FEB-UK</t>
  </si>
  <si>
    <t xml:space="preserve">Ceramic Mug Set</t>
  </si>
  <si>
    <t xml:space="preserve">Kitchen</t>
  </si>
  <si>
    <t xml:space="preserve">25-FEB-US</t>
  </si>
  <si>
    <t xml:space="preserve">4K Monitor</t>
  </si>
  <si>
    <t xml:space="preserve">Samsung</t>
  </si>
  <si>
    <t xml:space="preserve">02-MAR-CA</t>
  </si>
  <si>
    <t xml:space="preserve">Wool Sweater</t>
  </si>
  <si>
    <t xml:space="preserve">Zara</t>
  </si>
  <si>
    <t xml:space="preserve">08-MAR-IN</t>
  </si>
  <si>
    <t xml:space="preserve">Study Table</t>
  </si>
  <si>
    <t xml:space="preserve">Godrej</t>
  </si>
  <si>
    <t xml:space="preserve">15-MAR-US</t>
  </si>
  <si>
    <t xml:space="preserve">Noise Cancelling Headphones</t>
  </si>
  <si>
    <t xml:space="preserve">Sony</t>
  </si>
  <si>
    <t xml:space="preserve">21-MAR-UK</t>
  </si>
  <si>
    <t xml:space="preserve">Kids Toy Car</t>
  </si>
  <si>
    <t xml:space="preserve">Hot Wheels</t>
  </si>
  <si>
    <t xml:space="preserve">Toys</t>
  </si>
  <si>
    <t xml:space="preserve">27-MAR-AU</t>
  </si>
  <si>
    <t xml:space="preserve">Standing Desk</t>
  </si>
  <si>
    <t xml:space="preserve">02-APR-US</t>
  </si>
  <si>
    <t xml:space="preserve">Gaming Keyboard</t>
  </si>
  <si>
    <t xml:space="preserve">Razer</t>
  </si>
  <si>
    <t xml:space="preserve">07-APR-IN</t>
  </si>
  <si>
    <t xml:space="preserve">Yoga Mat</t>
  </si>
  <si>
    <t xml:space="preserve">Decathlon</t>
  </si>
  <si>
    <t xml:space="preserve">Sports</t>
  </si>
  <si>
    <t xml:space="preserve">13-APR-CA</t>
  </si>
  <si>
    <t xml:space="preserve">Leather Wallet</t>
  </si>
  <si>
    <t xml:space="preserve">Fossil</t>
  </si>
  <si>
    <t xml:space="preserve">Accessories</t>
  </si>
  <si>
    <t xml:space="preserve">19-APR-UK</t>
  </si>
  <si>
    <t xml:space="preserve">Blender</t>
  </si>
  <si>
    <t xml:space="preserve">24-APR-US</t>
  </si>
  <si>
    <t xml:space="preserve">External SSD 1TB</t>
  </si>
  <si>
    <t xml:space="preserve">SanDisk</t>
  </si>
  <si>
    <t xml:space="preserve">30-APR-AU</t>
  </si>
  <si>
    <t xml:space="preserve">Backpack</t>
  </si>
  <si>
    <t xml:space="preserve">Wildcraft</t>
  </si>
  <si>
    <t xml:space="preserve">05-MAY-IN</t>
  </si>
  <si>
    <t xml:space="preserve">Air Fryer</t>
  </si>
  <si>
    <t xml:space="preserve">11-MAY-US</t>
  </si>
  <si>
    <t xml:space="preserve">Bookshelf</t>
  </si>
  <si>
    <t xml:space="preserve">16-MAY-UK</t>
  </si>
  <si>
    <t xml:space="preserve">Wireless Earbuds</t>
  </si>
  <si>
    <t xml:space="preserve">22-MAY-CA</t>
  </si>
  <si>
    <t xml:space="preserve">Denim Jacket</t>
  </si>
  <si>
    <t xml:space="preserve">Levi's</t>
  </si>
  <si>
    <t xml:space="preserve">28-MAY-US</t>
  </si>
  <si>
    <t xml:space="preserve">Smartphone</t>
  </si>
  <si>
    <t xml:space="preserve">03-JUN-IN</t>
  </si>
  <si>
    <t xml:space="preserve">Office Desk</t>
  </si>
  <si>
    <t xml:space="preserve">09-JUN-UK</t>
  </si>
  <si>
    <t xml:space="preserve">Board Game</t>
  </si>
  <si>
    <t xml:space="preserve">Hasbro</t>
  </si>
  <si>
    <t xml:space="preserve">14-JUN-AU</t>
  </si>
  <si>
    <t xml:space="preserve">Tablet</t>
  </si>
  <si>
    <t xml:space="preserve">Lenovo</t>
  </si>
  <si>
    <t xml:space="preserve">20-JUN-US</t>
  </si>
  <si>
    <t xml:space="preserve">Coffee Maker</t>
  </si>
  <si>
    <t xml:space="preserve">Nescafe</t>
  </si>
  <si>
    <t xml:space="preserve">Summary Calculations</t>
  </si>
  <si>
    <t xml:space="preserve">Total Price of All Products</t>
  </si>
  <si>
    <t xml:space="preserve">Number of Products</t>
  </si>
  <si>
    <t xml:space="preserve">Average Price</t>
  </si>
  <si>
    <t xml:space="preserve">Minimum Price</t>
  </si>
  <si>
    <t xml:space="preserve">Maximum Price</t>
  </si>
  <si>
    <t xml:space="preserve">Total Price - Electronics Category (SUMIF)</t>
  </si>
  <si>
    <t xml:space="preserve">Count of Products Priced Below $100 (COUNTIF)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</si>
</sst>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10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n">
        <v>120</v>
      </c>
      <c r="E2" s="2" t="s">
        <v>13</v>
      </c>
      <c r="F2" s="3" t="n">
        <v>25.99</v>
      </c>
      <c r="G2" s="2" t="str">
        <f aca="false">IF(F2&gt;=500,"High Price","Standard Price")</f>
        <v>Standard Price</v>
      </c>
      <c r="H2" s="2" t="str">
        <f aca="false">LEFT(A2,2)</f>
        <v>05</v>
      </c>
      <c r="I2" s="2" t="str">
        <f aca="false">RIGHT(A2,2)</f>
        <v>US</v>
      </c>
      <c r="J2" s="2" t="str">
        <f aca="false">MID(A2,4,3)</f>
        <v>JAN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n">
        <v>80</v>
      </c>
      <c r="E3" s="2" t="s">
        <v>13</v>
      </c>
      <c r="F3" s="3" t="n">
        <v>45.5</v>
      </c>
      <c r="G3" s="2" t="str">
        <f aca="false">IF(F3&gt;=500,"High Price","Standard Price")</f>
        <v>Standard Price</v>
      </c>
      <c r="H3" s="2" t="str">
        <f aca="false">LEFT(A3,2)</f>
        <v>12</v>
      </c>
      <c r="I3" s="2" t="str">
        <f aca="false">RIGHT(A3,2)</f>
        <v>IN</v>
      </c>
      <c r="J3" s="2" t="str">
        <f aca="false">MID(A3,4,3)</f>
        <v>JAN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n">
        <v>200</v>
      </c>
      <c r="E4" s="2" t="s">
        <v>20</v>
      </c>
      <c r="F4" s="3" t="n">
        <v>12.99</v>
      </c>
      <c r="G4" s="2" t="str">
        <f aca="false">IF(F4&gt;=500,"High Price","Standard Price")</f>
        <v>Standard Price</v>
      </c>
      <c r="H4" s="2" t="str">
        <f aca="false">LEFT(A4,2)</f>
        <v>18</v>
      </c>
      <c r="I4" s="2" t="str">
        <f aca="false">RIGHT(A4,2)</f>
        <v>UK</v>
      </c>
      <c r="J4" s="2" t="str">
        <f aca="false">MID(A4,4,3)</f>
        <v>JAN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n">
        <v>15</v>
      </c>
      <c r="E5" s="2" t="s">
        <v>24</v>
      </c>
      <c r="F5" s="3" t="n">
        <v>150</v>
      </c>
      <c r="G5" s="2" t="str">
        <f aca="false">IF(F5&gt;=500,"High Price","Standard Price")</f>
        <v>Standard Price</v>
      </c>
      <c r="H5" s="2" t="str">
        <f aca="false">LEFT(A5,2)</f>
        <v>22</v>
      </c>
      <c r="I5" s="2" t="str">
        <f aca="false">RIGHT(A5,2)</f>
        <v>US</v>
      </c>
      <c r="J5" s="2" t="str">
        <f aca="false">MID(A5,4,3)</f>
        <v>JAN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27</v>
      </c>
      <c r="D6" s="2" t="n">
        <v>60</v>
      </c>
      <c r="E6" s="2" t="s">
        <v>13</v>
      </c>
      <c r="F6" s="3" t="n">
        <v>32.75</v>
      </c>
      <c r="G6" s="2" t="str">
        <f aca="false">IF(F6&gt;=500,"High Price","Standard Price")</f>
        <v>Standard Price</v>
      </c>
      <c r="H6" s="2" t="str">
        <f aca="false">LEFT(A6,2)</f>
        <v>29</v>
      </c>
      <c r="I6" s="2" t="str">
        <f aca="false">RIGHT(A6,2)</f>
        <v>CA</v>
      </c>
      <c r="J6" s="2" t="str">
        <f aca="false">MID(A6,4,3)</f>
        <v>JAN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30</v>
      </c>
      <c r="D7" s="2" t="n">
        <v>90</v>
      </c>
      <c r="E7" s="2" t="s">
        <v>13</v>
      </c>
      <c r="F7" s="3" t="n">
        <v>28.4</v>
      </c>
      <c r="G7" s="2" t="str">
        <f aca="false">IF(F7&gt;=500,"High Price","Standard Price")</f>
        <v>Standard Price</v>
      </c>
      <c r="H7" s="2" t="str">
        <f aca="false">LEFT(A7,2)</f>
        <v>03</v>
      </c>
      <c r="I7" s="2" t="str">
        <f aca="false">RIGHT(A7,2)</f>
        <v>US</v>
      </c>
      <c r="J7" s="2" t="str">
        <f aca="false">MID(A7,4,3)</f>
        <v>FEB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33</v>
      </c>
      <c r="D8" s="2" t="n">
        <v>70</v>
      </c>
      <c r="E8" s="2" t="s">
        <v>20</v>
      </c>
      <c r="F8" s="3" t="n">
        <v>55</v>
      </c>
      <c r="G8" s="2" t="str">
        <f aca="false">IF(F8&gt;=500,"High Price","Standard Price")</f>
        <v>Standard Price</v>
      </c>
      <c r="H8" s="2" t="str">
        <f aca="false">LEFT(A8,2)</f>
        <v>09</v>
      </c>
      <c r="I8" s="2" t="str">
        <f aca="false">RIGHT(A8,2)</f>
        <v>IN</v>
      </c>
      <c r="J8" s="2" t="str">
        <f aca="false">MID(A8,4,3)</f>
        <v>FEB</v>
      </c>
    </row>
    <row r="9" customFormat="false" ht="15" hidden="false" customHeight="false" outlineLevel="0" collapsed="false">
      <c r="A9" s="2" t="s">
        <v>34</v>
      </c>
      <c r="B9" s="2" t="s">
        <v>35</v>
      </c>
      <c r="C9" s="2" t="s">
        <v>36</v>
      </c>
      <c r="D9" s="2" t="n">
        <v>40</v>
      </c>
      <c r="E9" s="2" t="s">
        <v>13</v>
      </c>
      <c r="F9" s="3" t="n">
        <v>89.99</v>
      </c>
      <c r="G9" s="2" t="str">
        <f aca="false">IF(F9&gt;=500,"High Price","Standard Price")</f>
        <v>Standard Price</v>
      </c>
      <c r="H9" s="2" t="str">
        <f aca="false">LEFT(A9,2)</f>
        <v>14</v>
      </c>
      <c r="I9" s="2" t="str">
        <f aca="false">RIGHT(A9,2)</f>
        <v>AU</v>
      </c>
      <c r="J9" s="2" t="str">
        <f aca="false">MID(A9,4,3)</f>
        <v>FEB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23</v>
      </c>
      <c r="D10" s="2" t="n">
        <v>150</v>
      </c>
      <c r="E10" s="2" t="s">
        <v>39</v>
      </c>
      <c r="F10" s="3" t="n">
        <v>18.25</v>
      </c>
      <c r="G10" s="2" t="str">
        <f aca="false">IF(F10&gt;=500,"High Price","Standard Price")</f>
        <v>Standard Price</v>
      </c>
      <c r="H10" s="2" t="str">
        <f aca="false">LEFT(A10,2)</f>
        <v>19</v>
      </c>
      <c r="I10" s="2" t="str">
        <f aca="false">RIGHT(A10,2)</f>
        <v>UK</v>
      </c>
      <c r="J10" s="2" t="str">
        <f aca="false">MID(A10,4,3)</f>
        <v>FEB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2" t="s">
        <v>42</v>
      </c>
      <c r="D11" s="2" t="n">
        <v>25</v>
      </c>
      <c r="E11" s="2" t="s">
        <v>13</v>
      </c>
      <c r="F11" s="3" t="n">
        <v>310</v>
      </c>
      <c r="G11" s="2" t="str">
        <f aca="false">IF(F11&gt;=500,"High Price","Standard Price")</f>
        <v>Standard Price</v>
      </c>
      <c r="H11" s="2" t="str">
        <f aca="false">LEFT(A11,2)</f>
        <v>25</v>
      </c>
      <c r="I11" s="2" t="str">
        <f aca="false">RIGHT(A11,2)</f>
        <v>US</v>
      </c>
      <c r="J11" s="2" t="str">
        <f aca="false">MID(A11,4,3)</f>
        <v>FEB</v>
      </c>
    </row>
    <row r="12" customFormat="false" ht="15" hidden="false" customHeight="false" outlineLevel="0" collapsed="false">
      <c r="A12" s="2" t="s">
        <v>43</v>
      </c>
      <c r="B12" s="2" t="s">
        <v>44</v>
      </c>
      <c r="C12" s="2" t="s">
        <v>45</v>
      </c>
      <c r="D12" s="2" t="n">
        <v>85</v>
      </c>
      <c r="E12" s="2" t="s">
        <v>20</v>
      </c>
      <c r="F12" s="3" t="n">
        <v>42</v>
      </c>
      <c r="G12" s="2" t="str">
        <f aca="false">IF(F12&gt;=500,"High Price","Standard Price")</f>
        <v>Standard Price</v>
      </c>
      <c r="H12" s="2" t="str">
        <f aca="false">LEFT(A12,2)</f>
        <v>02</v>
      </c>
      <c r="I12" s="2" t="str">
        <f aca="false">RIGHT(A12,2)</f>
        <v>CA</v>
      </c>
      <c r="J12" s="2" t="str">
        <f aca="false">MID(A12,4,3)</f>
        <v>MAR</v>
      </c>
    </row>
    <row r="13" customFormat="false" ht="15" hidden="false" customHeight="false" outlineLevel="0" collapsed="false">
      <c r="A13" s="2" t="s">
        <v>46</v>
      </c>
      <c r="B13" s="2" t="s">
        <v>47</v>
      </c>
      <c r="C13" s="2" t="s">
        <v>48</v>
      </c>
      <c r="D13" s="2" t="n">
        <v>20</v>
      </c>
      <c r="E13" s="2" t="s">
        <v>24</v>
      </c>
      <c r="F13" s="3" t="n">
        <v>135.5</v>
      </c>
      <c r="G13" s="2" t="str">
        <f aca="false">IF(F13&gt;=500,"High Price","Standard Price")</f>
        <v>Standard Price</v>
      </c>
      <c r="H13" s="2" t="str">
        <f aca="false">LEFT(A13,2)</f>
        <v>08</v>
      </c>
      <c r="I13" s="2" t="str">
        <f aca="false">RIGHT(A13,2)</f>
        <v>IN</v>
      </c>
      <c r="J13" s="2" t="str">
        <f aca="false">MID(A13,4,3)</f>
        <v>MAR</v>
      </c>
    </row>
    <row r="14" customFormat="false" ht="15" hidden="false" customHeight="false" outlineLevel="0" collapsed="false">
      <c r="A14" s="2" t="s">
        <v>49</v>
      </c>
      <c r="B14" s="2" t="s">
        <v>50</v>
      </c>
      <c r="C14" s="2" t="s">
        <v>51</v>
      </c>
      <c r="D14" s="2" t="n">
        <v>35</v>
      </c>
      <c r="E14" s="2" t="s">
        <v>13</v>
      </c>
      <c r="F14" s="3" t="n">
        <v>199.99</v>
      </c>
      <c r="G14" s="2" t="str">
        <f aca="false">IF(F14&gt;=500,"High Price","Standard Price")</f>
        <v>Standard Price</v>
      </c>
      <c r="H14" s="2" t="str">
        <f aca="false">LEFT(A14,2)</f>
        <v>15</v>
      </c>
      <c r="I14" s="2" t="str">
        <f aca="false">RIGHT(A14,2)</f>
        <v>US</v>
      </c>
      <c r="J14" s="2" t="str">
        <f aca="false">MID(A14,4,3)</f>
        <v>MAR</v>
      </c>
    </row>
    <row r="15" customFormat="false" ht="15" hidden="false" customHeight="false" outlineLevel="0" collapsed="false">
      <c r="A15" s="2" t="s">
        <v>52</v>
      </c>
      <c r="B15" s="2" t="s">
        <v>53</v>
      </c>
      <c r="C15" s="2" t="s">
        <v>54</v>
      </c>
      <c r="D15" s="2" t="n">
        <v>110</v>
      </c>
      <c r="E15" s="2" t="s">
        <v>55</v>
      </c>
      <c r="F15" s="3" t="n">
        <v>9.99</v>
      </c>
      <c r="G15" s="2" t="str">
        <f aca="false">IF(F15&gt;=500,"High Price","Standard Price")</f>
        <v>Standard Price</v>
      </c>
      <c r="H15" s="2" t="str">
        <f aca="false">LEFT(A15,2)</f>
        <v>21</v>
      </c>
      <c r="I15" s="2" t="str">
        <f aca="false">RIGHT(A15,2)</f>
        <v>UK</v>
      </c>
      <c r="J15" s="2" t="str">
        <f aca="false">MID(A15,4,3)</f>
        <v>MAR</v>
      </c>
    </row>
    <row r="16" customFormat="false" ht="15" hidden="false" customHeight="false" outlineLevel="0" collapsed="false">
      <c r="A16" s="2" t="s">
        <v>56</v>
      </c>
      <c r="B16" s="2" t="s">
        <v>57</v>
      </c>
      <c r="C16" s="2" t="s">
        <v>23</v>
      </c>
      <c r="D16" s="2" t="n">
        <v>12</v>
      </c>
      <c r="E16" s="2" t="s">
        <v>24</v>
      </c>
      <c r="F16" s="3" t="n">
        <v>420</v>
      </c>
      <c r="G16" s="2" t="str">
        <f aca="false">IF(F16&gt;=500,"High Price","Standard Price")</f>
        <v>Standard Price</v>
      </c>
      <c r="H16" s="2" t="str">
        <f aca="false">LEFT(A16,2)</f>
        <v>27</v>
      </c>
      <c r="I16" s="2" t="str">
        <f aca="false">RIGHT(A16,2)</f>
        <v>AU</v>
      </c>
      <c r="J16" s="2" t="str">
        <f aca="false">MID(A16,4,3)</f>
        <v>MAR</v>
      </c>
    </row>
    <row r="17" customFormat="false" ht="15" hidden="false" customHeight="false" outlineLevel="0" collapsed="false">
      <c r="A17" s="2" t="s">
        <v>58</v>
      </c>
      <c r="B17" s="2" t="s">
        <v>59</v>
      </c>
      <c r="C17" s="2" t="s">
        <v>60</v>
      </c>
      <c r="D17" s="2" t="n">
        <v>55</v>
      </c>
      <c r="E17" s="2" t="s">
        <v>13</v>
      </c>
      <c r="F17" s="3" t="n">
        <v>75</v>
      </c>
      <c r="G17" s="2" t="str">
        <f aca="false">IF(F17&gt;=500,"High Price","Standard Price")</f>
        <v>Standard Price</v>
      </c>
      <c r="H17" s="2" t="str">
        <f aca="false">LEFT(A17,2)</f>
        <v>02</v>
      </c>
      <c r="I17" s="2" t="str">
        <f aca="false">RIGHT(A17,2)</f>
        <v>US</v>
      </c>
      <c r="J17" s="2" t="str">
        <f aca="false">MID(A17,4,3)</f>
        <v>APR</v>
      </c>
    </row>
    <row r="18" customFormat="false" ht="15" hidden="false" customHeight="false" outlineLevel="0" collapsed="false">
      <c r="A18" s="2" t="s">
        <v>61</v>
      </c>
      <c r="B18" s="2" t="s">
        <v>62</v>
      </c>
      <c r="C18" s="2" t="s">
        <v>63</v>
      </c>
      <c r="D18" s="2" t="n">
        <v>130</v>
      </c>
      <c r="E18" s="2" t="s">
        <v>64</v>
      </c>
      <c r="F18" s="3" t="n">
        <v>15.75</v>
      </c>
      <c r="G18" s="2" t="str">
        <f aca="false">IF(F18&gt;=500,"High Price","Standard Price")</f>
        <v>Standard Price</v>
      </c>
      <c r="H18" s="2" t="str">
        <f aca="false">LEFT(A18,2)</f>
        <v>07</v>
      </c>
      <c r="I18" s="2" t="str">
        <f aca="false">RIGHT(A18,2)</f>
        <v>IN</v>
      </c>
      <c r="J18" s="2" t="str">
        <f aca="false">MID(A18,4,3)</f>
        <v>APR</v>
      </c>
    </row>
    <row r="19" customFormat="false" ht="15" hidden="false" customHeight="false" outlineLevel="0" collapsed="false">
      <c r="A19" s="2" t="s">
        <v>65</v>
      </c>
      <c r="B19" s="2" t="s">
        <v>66</v>
      </c>
      <c r="C19" s="2" t="s">
        <v>67</v>
      </c>
      <c r="D19" s="2" t="n">
        <v>65</v>
      </c>
      <c r="E19" s="2" t="s">
        <v>68</v>
      </c>
      <c r="F19" s="3" t="n">
        <v>38.5</v>
      </c>
      <c r="G19" s="2" t="str">
        <f aca="false">IF(F19&gt;=500,"High Price","Standard Price")</f>
        <v>Standard Price</v>
      </c>
      <c r="H19" s="2" t="str">
        <f aca="false">LEFT(A19,2)</f>
        <v>13</v>
      </c>
      <c r="I19" s="2" t="str">
        <f aca="false">RIGHT(A19,2)</f>
        <v>CA</v>
      </c>
      <c r="J19" s="2" t="str">
        <f aca="false">MID(A19,4,3)</f>
        <v>APR</v>
      </c>
    </row>
    <row r="20" customFormat="false" ht="15" hidden="false" customHeight="false" outlineLevel="0" collapsed="false">
      <c r="A20" s="2" t="s">
        <v>69</v>
      </c>
      <c r="B20" s="2" t="s">
        <v>70</v>
      </c>
      <c r="C20" s="2" t="s">
        <v>27</v>
      </c>
      <c r="D20" s="2" t="n">
        <v>45</v>
      </c>
      <c r="E20" s="2" t="s">
        <v>39</v>
      </c>
      <c r="F20" s="3" t="n">
        <v>52.3</v>
      </c>
      <c r="G20" s="2" t="str">
        <f aca="false">IF(F20&gt;=500,"High Price","Standard Price")</f>
        <v>Standard Price</v>
      </c>
      <c r="H20" s="2" t="str">
        <f aca="false">LEFT(A20,2)</f>
        <v>19</v>
      </c>
      <c r="I20" s="2" t="str">
        <f aca="false">RIGHT(A20,2)</f>
        <v>UK</v>
      </c>
      <c r="J20" s="2" t="str">
        <f aca="false">MID(A20,4,3)</f>
        <v>APR</v>
      </c>
    </row>
    <row r="21" customFormat="false" ht="15" hidden="false" customHeight="false" outlineLevel="0" collapsed="false">
      <c r="A21" s="2" t="s">
        <v>71</v>
      </c>
      <c r="B21" s="2" t="s">
        <v>72</v>
      </c>
      <c r="C21" s="2" t="s">
        <v>73</v>
      </c>
      <c r="D21" s="2" t="n">
        <v>70</v>
      </c>
      <c r="E21" s="2" t="s">
        <v>13</v>
      </c>
      <c r="F21" s="3" t="n">
        <v>95</v>
      </c>
      <c r="G21" s="2" t="str">
        <f aca="false">IF(F21&gt;=500,"High Price","Standard Price")</f>
        <v>Standard Price</v>
      </c>
      <c r="H21" s="2" t="str">
        <f aca="false">LEFT(A21,2)</f>
        <v>24</v>
      </c>
      <c r="I21" s="2" t="str">
        <f aca="false">RIGHT(A21,2)</f>
        <v>US</v>
      </c>
      <c r="J21" s="2" t="str">
        <f aca="false">MID(A21,4,3)</f>
        <v>APR</v>
      </c>
    </row>
    <row r="22" customFormat="false" ht="15" hidden="false" customHeight="false" outlineLevel="0" collapsed="false">
      <c r="A22" s="2" t="s">
        <v>74</v>
      </c>
      <c r="B22" s="2" t="s">
        <v>75</v>
      </c>
      <c r="C22" s="2" t="s">
        <v>76</v>
      </c>
      <c r="D22" s="2" t="n">
        <v>95</v>
      </c>
      <c r="E22" s="2" t="s">
        <v>68</v>
      </c>
      <c r="F22" s="3" t="n">
        <v>34.99</v>
      </c>
      <c r="G22" s="2" t="str">
        <f aca="false">IF(F22&gt;=500,"High Price","Standard Price")</f>
        <v>Standard Price</v>
      </c>
      <c r="H22" s="2" t="str">
        <f aca="false">LEFT(A22,2)</f>
        <v>30</v>
      </c>
      <c r="I22" s="2" t="str">
        <f aca="false">RIGHT(A22,2)</f>
        <v>AU</v>
      </c>
      <c r="J22" s="2" t="str">
        <f aca="false">MID(A22,4,3)</f>
        <v>APR</v>
      </c>
    </row>
    <row r="23" customFormat="false" ht="15" hidden="false" customHeight="false" outlineLevel="0" collapsed="false">
      <c r="A23" s="2" t="s">
        <v>77</v>
      </c>
      <c r="B23" s="2" t="s">
        <v>78</v>
      </c>
      <c r="C23" s="2" t="s">
        <v>27</v>
      </c>
      <c r="D23" s="2" t="n">
        <v>30</v>
      </c>
      <c r="E23" s="2" t="s">
        <v>39</v>
      </c>
      <c r="F23" s="3" t="n">
        <v>110</v>
      </c>
      <c r="G23" s="2" t="str">
        <f aca="false">IF(F23&gt;=500,"High Price","Standard Price")</f>
        <v>Standard Price</v>
      </c>
      <c r="H23" s="2" t="str">
        <f aca="false">LEFT(A23,2)</f>
        <v>05</v>
      </c>
      <c r="I23" s="2" t="str">
        <f aca="false">RIGHT(A23,2)</f>
        <v>IN</v>
      </c>
      <c r="J23" s="2" t="str">
        <f aca="false">MID(A23,4,3)</f>
        <v>MAY</v>
      </c>
    </row>
    <row r="24" customFormat="false" ht="15" hidden="false" customHeight="false" outlineLevel="0" collapsed="false">
      <c r="A24" s="2" t="s">
        <v>79</v>
      </c>
      <c r="B24" s="2" t="s">
        <v>80</v>
      </c>
      <c r="C24" s="2" t="s">
        <v>23</v>
      </c>
      <c r="D24" s="2" t="n">
        <v>18</v>
      </c>
      <c r="E24" s="2" t="s">
        <v>24</v>
      </c>
      <c r="F24" s="3" t="n">
        <v>89</v>
      </c>
      <c r="G24" s="2" t="str">
        <f aca="false">IF(F24&gt;=500,"High Price","Standard Price")</f>
        <v>Standard Price</v>
      </c>
      <c r="H24" s="2" t="str">
        <f aca="false">LEFT(A24,2)</f>
        <v>11</v>
      </c>
      <c r="I24" s="2" t="str">
        <f aca="false">RIGHT(A24,2)</f>
        <v>US</v>
      </c>
      <c r="J24" s="2" t="str">
        <f aca="false">MID(A24,4,3)</f>
        <v>MAY</v>
      </c>
    </row>
    <row r="25" customFormat="false" ht="15" hidden="false" customHeight="false" outlineLevel="0" collapsed="false">
      <c r="A25" s="2" t="s">
        <v>81</v>
      </c>
      <c r="B25" s="2" t="s">
        <v>82</v>
      </c>
      <c r="C25" s="2" t="s">
        <v>16</v>
      </c>
      <c r="D25" s="2" t="n">
        <v>140</v>
      </c>
      <c r="E25" s="2" t="s">
        <v>13</v>
      </c>
      <c r="F25" s="3" t="n">
        <v>29.99</v>
      </c>
      <c r="G25" s="2" t="str">
        <f aca="false">IF(F25&gt;=500,"High Price","Standard Price")</f>
        <v>Standard Price</v>
      </c>
      <c r="H25" s="2" t="str">
        <f aca="false">LEFT(A25,2)</f>
        <v>16</v>
      </c>
      <c r="I25" s="2" t="str">
        <f aca="false">RIGHT(A25,2)</f>
        <v>UK</v>
      </c>
      <c r="J25" s="2" t="str">
        <f aca="false">MID(A25,4,3)</f>
        <v>MAY</v>
      </c>
    </row>
    <row r="26" customFormat="false" ht="15" hidden="false" customHeight="false" outlineLevel="0" collapsed="false">
      <c r="A26" s="2" t="s">
        <v>83</v>
      </c>
      <c r="B26" s="2" t="s">
        <v>84</v>
      </c>
      <c r="C26" s="2" t="s">
        <v>85</v>
      </c>
      <c r="D26" s="2" t="n">
        <v>75</v>
      </c>
      <c r="E26" s="2" t="s">
        <v>20</v>
      </c>
      <c r="F26" s="3" t="n">
        <v>68</v>
      </c>
      <c r="G26" s="2" t="str">
        <f aca="false">IF(F26&gt;=500,"High Price","Standard Price")</f>
        <v>Standard Price</v>
      </c>
      <c r="H26" s="2" t="str">
        <f aca="false">LEFT(A26,2)</f>
        <v>22</v>
      </c>
      <c r="I26" s="2" t="str">
        <f aca="false">RIGHT(A26,2)</f>
        <v>CA</v>
      </c>
      <c r="J26" s="2" t="str">
        <f aca="false">MID(A26,4,3)</f>
        <v>MAY</v>
      </c>
    </row>
    <row r="27" customFormat="false" ht="15" hidden="false" customHeight="false" outlineLevel="0" collapsed="false">
      <c r="A27" s="2" t="s">
        <v>86</v>
      </c>
      <c r="B27" s="2" t="s">
        <v>87</v>
      </c>
      <c r="C27" s="2" t="s">
        <v>42</v>
      </c>
      <c r="D27" s="2" t="n">
        <v>22</v>
      </c>
      <c r="E27" s="2" t="s">
        <v>13</v>
      </c>
      <c r="F27" s="3" t="n">
        <v>650</v>
      </c>
      <c r="G27" s="2" t="str">
        <f aca="false">IF(F27&gt;=500,"High Price","Standard Price")</f>
        <v>High Price</v>
      </c>
      <c r="H27" s="2" t="str">
        <f aca="false">LEFT(A27,2)</f>
        <v>28</v>
      </c>
      <c r="I27" s="2" t="str">
        <f aca="false">RIGHT(A27,2)</f>
        <v>US</v>
      </c>
      <c r="J27" s="2" t="str">
        <f aca="false">MID(A27,4,3)</f>
        <v>MAY</v>
      </c>
    </row>
    <row r="28" customFormat="false" ht="15" hidden="false" customHeight="false" outlineLevel="0" collapsed="false">
      <c r="A28" s="2" t="s">
        <v>88</v>
      </c>
      <c r="B28" s="2" t="s">
        <v>89</v>
      </c>
      <c r="C28" s="2" t="s">
        <v>48</v>
      </c>
      <c r="D28" s="2" t="n">
        <v>10</v>
      </c>
      <c r="E28" s="2" t="s">
        <v>24</v>
      </c>
      <c r="F28" s="3" t="n">
        <v>275</v>
      </c>
      <c r="G28" s="2" t="str">
        <f aca="false">IF(F28&gt;=500,"High Price","Standard Price")</f>
        <v>Standard Price</v>
      </c>
      <c r="H28" s="2" t="str">
        <f aca="false">LEFT(A28,2)</f>
        <v>03</v>
      </c>
      <c r="I28" s="2" t="str">
        <f aca="false">RIGHT(A28,2)</f>
        <v>IN</v>
      </c>
      <c r="J28" s="2" t="str">
        <f aca="false">MID(A28,4,3)</f>
        <v>JUN</v>
      </c>
    </row>
    <row r="29" customFormat="false" ht="15" hidden="false" customHeight="false" outlineLevel="0" collapsed="false">
      <c r="A29" s="2" t="s">
        <v>90</v>
      </c>
      <c r="B29" s="2" t="s">
        <v>91</v>
      </c>
      <c r="C29" s="2" t="s">
        <v>92</v>
      </c>
      <c r="D29" s="2" t="n">
        <v>85</v>
      </c>
      <c r="E29" s="2" t="s">
        <v>55</v>
      </c>
      <c r="F29" s="3" t="n">
        <v>19.5</v>
      </c>
      <c r="G29" s="2" t="str">
        <f aca="false">IF(F29&gt;=500,"High Price","Standard Price")</f>
        <v>Standard Price</v>
      </c>
      <c r="H29" s="2" t="str">
        <f aca="false">LEFT(A29,2)</f>
        <v>09</v>
      </c>
      <c r="I29" s="2" t="str">
        <f aca="false">RIGHT(A29,2)</f>
        <v>UK</v>
      </c>
      <c r="J29" s="2" t="str">
        <f aca="false">MID(A29,4,3)</f>
        <v>JUN</v>
      </c>
    </row>
    <row r="30" customFormat="false" ht="15" hidden="false" customHeight="false" outlineLevel="0" collapsed="false">
      <c r="A30" s="2" t="s">
        <v>93</v>
      </c>
      <c r="B30" s="2" t="s">
        <v>94</v>
      </c>
      <c r="C30" s="2" t="s">
        <v>95</v>
      </c>
      <c r="D30" s="2" t="n">
        <v>28</v>
      </c>
      <c r="E30" s="2" t="s">
        <v>13</v>
      </c>
      <c r="F30" s="3" t="n">
        <v>220</v>
      </c>
      <c r="G30" s="2" t="str">
        <f aca="false">IF(F30&gt;=500,"High Price","Standard Price")</f>
        <v>Standard Price</v>
      </c>
      <c r="H30" s="2" t="str">
        <f aca="false">LEFT(A30,2)</f>
        <v>14</v>
      </c>
      <c r="I30" s="2" t="str">
        <f aca="false">RIGHT(A30,2)</f>
        <v>AU</v>
      </c>
      <c r="J30" s="2" t="str">
        <f aca="false">MID(A30,4,3)</f>
        <v>JUN</v>
      </c>
    </row>
    <row r="31" customFormat="false" ht="15" hidden="false" customHeight="false" outlineLevel="0" collapsed="false">
      <c r="A31" s="2" t="s">
        <v>96</v>
      </c>
      <c r="B31" s="2" t="s">
        <v>97</v>
      </c>
      <c r="C31" s="2" t="s">
        <v>98</v>
      </c>
      <c r="D31" s="2" t="n">
        <v>40</v>
      </c>
      <c r="E31" s="2" t="s">
        <v>39</v>
      </c>
      <c r="F31" s="3" t="n">
        <v>64</v>
      </c>
      <c r="G31" s="2" t="str">
        <f aca="false">IF(F31&gt;=500,"High Price","Standard Price")</f>
        <v>Standard Price</v>
      </c>
      <c r="H31" s="2" t="str">
        <f aca="false">LEFT(A31,2)</f>
        <v>20</v>
      </c>
      <c r="I31" s="2" t="str">
        <f aca="false">RIGHT(A31,2)</f>
        <v>US</v>
      </c>
      <c r="J31" s="2" t="str">
        <f aca="false">MID(A31,4,3)</f>
        <v>JUN</v>
      </c>
    </row>
    <row r="34" customFormat="false" ht="16.15" hidden="false" customHeight="false" outlineLevel="0" collapsed="false">
      <c r="A34" s="4" t="s">
        <v>99</v>
      </c>
      <c r="B34" s="4"/>
    </row>
    <row r="35" customFormat="false" ht="15" hidden="false" customHeight="false" outlineLevel="0" collapsed="false">
      <c r="A35" s="5" t="s">
        <v>100</v>
      </c>
      <c r="B35" s="5"/>
      <c r="C35" s="5"/>
      <c r="D35" s="6" t="n">
        <f aca="false">SUM(F2:F31)</f>
        <v>3413.38</v>
      </c>
    </row>
    <row r="36" customFormat="false" ht="15" hidden="false" customHeight="false" outlineLevel="0" collapsed="false">
      <c r="A36" s="5" t="s">
        <v>101</v>
      </c>
      <c r="B36" s="5"/>
      <c r="C36" s="5"/>
      <c r="D36" s="7" t="n">
        <f aca="false">COUNT(F2:F31)</f>
        <v>30</v>
      </c>
    </row>
    <row r="37" customFormat="false" ht="15" hidden="false" customHeight="false" outlineLevel="0" collapsed="false">
      <c r="A37" s="5" t="s">
        <v>102</v>
      </c>
      <c r="B37" s="5"/>
      <c r="C37" s="5"/>
      <c r="D37" s="6" t="n">
        <f aca="false">AVERAGE(F2:F31)</f>
        <v>113.779333333333</v>
      </c>
    </row>
    <row r="38" customFormat="false" ht="15" hidden="false" customHeight="false" outlineLevel="0" collapsed="false">
      <c r="A38" s="5" t="s">
        <v>103</v>
      </c>
      <c r="B38" s="5"/>
      <c r="C38" s="5"/>
      <c r="D38" s="6" t="n">
        <f aca="false">MIN(F2:F31)</f>
        <v>9.99</v>
      </c>
    </row>
    <row r="39" customFormat="false" ht="15" hidden="false" customHeight="false" outlineLevel="0" collapsed="false">
      <c r="A39" s="5" t="s">
        <v>104</v>
      </c>
      <c r="B39" s="5"/>
      <c r="C39" s="5"/>
      <c r="D39" s="6" t="n">
        <f aca="false">MAX(F2:F31)</f>
        <v>650</v>
      </c>
    </row>
    <row r="40" customFormat="false" ht="15" hidden="false" customHeight="false" outlineLevel="0" collapsed="false">
      <c r="A40" s="5" t="s">
        <v>105</v>
      </c>
      <c r="B40" s="5"/>
      <c r="C40" s="5"/>
      <c r="D40" s="6" t="n">
        <f aca="false">SUMIF(E2:E31,"Electronics",F2:F31)</f>
        <v>1802.61</v>
      </c>
    </row>
    <row r="41" customFormat="false" ht="15" hidden="false" customHeight="false" outlineLevel="0" collapsed="false">
      <c r="A41" s="5" t="s">
        <v>106</v>
      </c>
      <c r="B41" s="5"/>
      <c r="C41" s="5"/>
      <c r="D41" s="7" t="n">
        <f aca="false">COUNTIF(F2:F31,"&lt;100")</f>
        <v>21</v>
      </c>
    </row>
  </sheetData>
  <mergeCells count="8">
    <mergeCell ref="A34:B34"/>
    <mergeCell ref="A35:C35"/>
    <mergeCell ref="A36:C36"/>
    <mergeCell ref="A37:C37"/>
    <mergeCell ref="A38:C38"/>
    <mergeCell ref="A39:C39"/>
    <mergeCell ref="A40:C40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2026-09-23T12:09:08Z</dcterms:created>
  <dc:creator>openpyxl</dc:creator>
  <dc:description/>
  <dc:language>en-US</dc:language>
  <cp:lastModifiedBy/>
  <dcterms:modified xsi:type="dcterms:W3CDTF">2026-09-23T12:09:08Z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