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8_{E45E2776-5F4C-4CE1-BD41-33A4AEE060E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Product Datas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1" i="1" l="1"/>
  <c r="D40" i="1"/>
  <c r="D39" i="1"/>
  <c r="D38" i="1"/>
  <c r="D37" i="1"/>
  <c r="D36" i="1"/>
  <c r="D35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</calcChain>
</file>

<file path=xl/sharedStrings.xml><?xml version="1.0" encoding="utf-8"?>
<sst xmlns="http://schemas.openxmlformats.org/spreadsheetml/2006/main" count="138" uniqueCount="107">
  <si>
    <t>Product ID</t>
  </si>
  <si>
    <t>Product Name</t>
  </si>
  <si>
    <t>Brand Name</t>
  </si>
  <si>
    <t>Quantity</t>
  </si>
  <si>
    <t>Category</t>
  </si>
  <si>
    <t>Price Range</t>
  </si>
  <si>
    <t>Day</t>
  </si>
  <si>
    <t>Country Code</t>
  </si>
  <si>
    <t>Month</t>
  </si>
  <si>
    <t>05-JAN-US</t>
  </si>
  <si>
    <t>Wireless Mouse</t>
  </si>
  <si>
    <t>Logitech</t>
  </si>
  <si>
    <t>Electronics</t>
  </si>
  <si>
    <t>12-JAN-IN</t>
  </si>
  <si>
    <t>Bluetooth Speaker</t>
  </si>
  <si>
    <t>boAt</t>
  </si>
  <si>
    <t>18-JAN-UK</t>
  </si>
  <si>
    <t>Cotton T-Shirt</t>
  </si>
  <si>
    <t>H&amp;M</t>
  </si>
  <si>
    <t>Clothing</t>
  </si>
  <si>
    <t>22-JAN-US</t>
  </si>
  <si>
    <t>Office Chair</t>
  </si>
  <si>
    <t>IKEA</t>
  </si>
  <si>
    <t>Furniture</t>
  </si>
  <si>
    <t>29-JAN-CA</t>
  </si>
  <si>
    <t>LED Desk Lamp</t>
  </si>
  <si>
    <t>Philips</t>
  </si>
  <si>
    <t>03-FEB-US</t>
  </si>
  <si>
    <t>Laptop Stand</t>
  </si>
  <si>
    <t>AmazonBasics</t>
  </si>
  <si>
    <t>09-FEB-IN</t>
  </si>
  <si>
    <t>Running Shoes</t>
  </si>
  <si>
    <t>Puma</t>
  </si>
  <si>
    <t>14-FEB-AU</t>
  </si>
  <si>
    <t>Smart Watch</t>
  </si>
  <si>
    <t>Noise</t>
  </si>
  <si>
    <t>19-FEB-UK</t>
  </si>
  <si>
    <t>Ceramic Mug Set</t>
  </si>
  <si>
    <t>Kitchen</t>
  </si>
  <si>
    <t>25-FEB-US</t>
  </si>
  <si>
    <t>4K Monitor</t>
  </si>
  <si>
    <t>Samsung</t>
  </si>
  <si>
    <t>02-MAR-CA</t>
  </si>
  <si>
    <t>Wool Sweater</t>
  </si>
  <si>
    <t>Zara</t>
  </si>
  <si>
    <t>08-MAR-IN</t>
  </si>
  <si>
    <t>Study Table</t>
  </si>
  <si>
    <t>Godrej</t>
  </si>
  <si>
    <t>15-MAR-US</t>
  </si>
  <si>
    <t>Noise Cancelling Headphones</t>
  </si>
  <si>
    <t>Sony</t>
  </si>
  <si>
    <t>21-MAR-UK</t>
  </si>
  <si>
    <t>Kids Toy Car</t>
  </si>
  <si>
    <t>Hot Wheels</t>
  </si>
  <si>
    <t>Toys</t>
  </si>
  <si>
    <t>27-MAR-AU</t>
  </si>
  <si>
    <t>Standing Desk</t>
  </si>
  <si>
    <t>02-APR-US</t>
  </si>
  <si>
    <t>Gaming Keyboard</t>
  </si>
  <si>
    <t>Razer</t>
  </si>
  <si>
    <t>07-APR-IN</t>
  </si>
  <si>
    <t>Yoga Mat</t>
  </si>
  <si>
    <t>Decathlon</t>
  </si>
  <si>
    <t>Sports</t>
  </si>
  <si>
    <t>13-APR-CA</t>
  </si>
  <si>
    <t>Leather Wallet</t>
  </si>
  <si>
    <t>Fossil</t>
  </si>
  <si>
    <t>Accessories</t>
  </si>
  <si>
    <t>19-APR-UK</t>
  </si>
  <si>
    <t>Blender</t>
  </si>
  <si>
    <t>24-APR-US</t>
  </si>
  <si>
    <t>External SSD 1TB</t>
  </si>
  <si>
    <t>SanDisk</t>
  </si>
  <si>
    <t>30-APR-AU</t>
  </si>
  <si>
    <t>Backpack</t>
  </si>
  <si>
    <t>Wildcraft</t>
  </si>
  <si>
    <t>05-MAY-IN</t>
  </si>
  <si>
    <t>Air Fryer</t>
  </si>
  <si>
    <t>11-MAY-US</t>
  </si>
  <si>
    <t>Bookshelf</t>
  </si>
  <si>
    <t>16-MAY-UK</t>
  </si>
  <si>
    <t>Wireless Earbuds</t>
  </si>
  <si>
    <t>22-MAY-CA</t>
  </si>
  <si>
    <t>Denim Jacket</t>
  </si>
  <si>
    <t>Levi's</t>
  </si>
  <si>
    <t>28-MAY-US</t>
  </si>
  <si>
    <t>Smartphone</t>
  </si>
  <si>
    <t>03-JUN-IN</t>
  </si>
  <si>
    <t>Office Desk</t>
  </si>
  <si>
    <t>09-JUN-UK</t>
  </si>
  <si>
    <t>Board Game</t>
  </si>
  <si>
    <t>Hasbro</t>
  </si>
  <si>
    <t>14-JUN-AU</t>
  </si>
  <si>
    <t>Tablet</t>
  </si>
  <si>
    <t>Lenovo</t>
  </si>
  <si>
    <t>20-JUN-US</t>
  </si>
  <si>
    <t>Coffee Maker</t>
  </si>
  <si>
    <t>Nescafe</t>
  </si>
  <si>
    <t>Summary Calculations</t>
  </si>
  <si>
    <t>Total Price of All Products</t>
  </si>
  <si>
    <t>Number of Products</t>
  </si>
  <si>
    <t>Average Price</t>
  </si>
  <si>
    <t>Minimum Price</t>
  </si>
  <si>
    <t>Maximum Price</t>
  </si>
  <si>
    <t>Total Price - Electronics Category (SUMIF)</t>
  </si>
  <si>
    <t>Count of Products Priced Below $100 (COUNTIF)</t>
  </si>
  <si>
    <t>Price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</si>
</sst>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&quot;₹&quot;\ #,##0.0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3" borderId="1" xfId="0" applyFont="1" applyFill="1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5" fillId="0" borderId="1" xfId="0" applyNumberFormat="1" applyFont="1" applyBorder="1"/>
    <xf numFmtId="1" fontId="5" fillId="0" borderId="1" xfId="0" applyNumberFormat="1" applyFont="1" applyBorder="1"/>
    <xf numFmtId="166" fontId="2" fillId="0" borderId="1" xfId="0" applyNumberFormat="1" applyFont="1" applyBorder="1"/>
    <xf numFmtId="166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Normal="100" workbookViewId="0">
      <pane ySplit="1" topLeftCell="A2" activePane="bottomLeft" state="frozen"/>
      <selection pane="bottomLeft" activeCell="F2" sqref="F2"/>
    </sheetView>
  </sheetViews>
  <sheetFormatPr defaultColWidth="8.6640625" defaultRowHeight="14.4" x14ac:dyDescent="0.3"/>
  <cols>
    <col min="1" max="1" width="16" customWidth="1"/>
    <col min="2" max="2" width="26" customWidth="1"/>
    <col min="3" max="10" width="16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106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">
      <c r="A2" s="4" t="s">
        <v>9</v>
      </c>
      <c r="B2" s="4" t="s">
        <v>10</v>
      </c>
      <c r="C2" s="4" t="s">
        <v>11</v>
      </c>
      <c r="D2" s="4">
        <v>120</v>
      </c>
      <c r="E2" s="4" t="s">
        <v>12</v>
      </c>
      <c r="F2" s="7">
        <v>25.99</v>
      </c>
      <c r="G2" s="4" t="str">
        <f t="shared" ref="G2:G31" si="0">IF(F2&gt;=500,"High Price","Standard Price")</f>
        <v>Standard Price</v>
      </c>
      <c r="H2" s="4" t="str">
        <f t="shared" ref="H2:H31" si="1">LEFT(A2,2)</f>
        <v>05</v>
      </c>
      <c r="I2" s="4" t="str">
        <f t="shared" ref="I2:I31" si="2">RIGHT(A2,2)</f>
        <v>US</v>
      </c>
      <c r="J2" s="4" t="str">
        <f t="shared" ref="J2:J31" si="3">MID(A2,4,3)</f>
        <v>JAN</v>
      </c>
    </row>
    <row r="3" spans="1:10" x14ac:dyDescent="0.3">
      <c r="A3" s="4" t="s">
        <v>13</v>
      </c>
      <c r="B3" s="4" t="s">
        <v>14</v>
      </c>
      <c r="C3" s="4" t="s">
        <v>15</v>
      </c>
      <c r="D3" s="4">
        <v>80</v>
      </c>
      <c r="E3" s="4" t="s">
        <v>12</v>
      </c>
      <c r="F3" s="7">
        <v>45.5</v>
      </c>
      <c r="G3" s="4" t="str">
        <f t="shared" si="0"/>
        <v>Standard Price</v>
      </c>
      <c r="H3" s="4" t="str">
        <f t="shared" si="1"/>
        <v>12</v>
      </c>
      <c r="I3" s="4" t="str">
        <f t="shared" si="2"/>
        <v>IN</v>
      </c>
      <c r="J3" s="4" t="str">
        <f t="shared" si="3"/>
        <v>JAN</v>
      </c>
    </row>
    <row r="4" spans="1:10" x14ac:dyDescent="0.3">
      <c r="A4" s="4" t="s">
        <v>16</v>
      </c>
      <c r="B4" s="4" t="s">
        <v>17</v>
      </c>
      <c r="C4" s="4" t="s">
        <v>18</v>
      </c>
      <c r="D4" s="4">
        <v>200</v>
      </c>
      <c r="E4" s="4" t="s">
        <v>19</v>
      </c>
      <c r="F4" s="7">
        <v>12.99</v>
      </c>
      <c r="G4" s="4" t="str">
        <f t="shared" si="0"/>
        <v>Standard Price</v>
      </c>
      <c r="H4" s="4" t="str">
        <f t="shared" si="1"/>
        <v>18</v>
      </c>
      <c r="I4" s="4" t="str">
        <f t="shared" si="2"/>
        <v>UK</v>
      </c>
      <c r="J4" s="4" t="str">
        <f t="shared" si="3"/>
        <v>JAN</v>
      </c>
    </row>
    <row r="5" spans="1:10" x14ac:dyDescent="0.3">
      <c r="A5" s="4" t="s">
        <v>20</v>
      </c>
      <c r="B5" s="4" t="s">
        <v>21</v>
      </c>
      <c r="C5" s="4" t="s">
        <v>22</v>
      </c>
      <c r="D5" s="4">
        <v>15</v>
      </c>
      <c r="E5" s="4" t="s">
        <v>23</v>
      </c>
      <c r="F5" s="7">
        <v>150</v>
      </c>
      <c r="G5" s="4" t="str">
        <f t="shared" si="0"/>
        <v>Standard Price</v>
      </c>
      <c r="H5" s="4" t="str">
        <f t="shared" si="1"/>
        <v>22</v>
      </c>
      <c r="I5" s="4" t="str">
        <f t="shared" si="2"/>
        <v>US</v>
      </c>
      <c r="J5" s="4" t="str">
        <f t="shared" si="3"/>
        <v>JAN</v>
      </c>
    </row>
    <row r="6" spans="1:10" x14ac:dyDescent="0.3">
      <c r="A6" s="4" t="s">
        <v>24</v>
      </c>
      <c r="B6" s="4" t="s">
        <v>25</v>
      </c>
      <c r="C6" s="4" t="s">
        <v>26</v>
      </c>
      <c r="D6" s="4">
        <v>60</v>
      </c>
      <c r="E6" s="4" t="s">
        <v>12</v>
      </c>
      <c r="F6" s="7">
        <v>32.75</v>
      </c>
      <c r="G6" s="4" t="str">
        <f t="shared" si="0"/>
        <v>Standard Price</v>
      </c>
      <c r="H6" s="4" t="str">
        <f t="shared" si="1"/>
        <v>29</v>
      </c>
      <c r="I6" s="4" t="str">
        <f t="shared" si="2"/>
        <v>CA</v>
      </c>
      <c r="J6" s="4" t="str">
        <f t="shared" si="3"/>
        <v>JAN</v>
      </c>
    </row>
    <row r="7" spans="1:10" x14ac:dyDescent="0.3">
      <c r="A7" s="4" t="s">
        <v>27</v>
      </c>
      <c r="B7" s="4" t="s">
        <v>28</v>
      </c>
      <c r="C7" s="4" t="s">
        <v>29</v>
      </c>
      <c r="D7" s="4">
        <v>90</v>
      </c>
      <c r="E7" s="4" t="s">
        <v>12</v>
      </c>
      <c r="F7" s="7">
        <v>28.4</v>
      </c>
      <c r="G7" s="4" t="str">
        <f t="shared" si="0"/>
        <v>Standard Price</v>
      </c>
      <c r="H7" s="4" t="str">
        <f t="shared" si="1"/>
        <v>03</v>
      </c>
      <c r="I7" s="4" t="str">
        <f t="shared" si="2"/>
        <v>US</v>
      </c>
      <c r="J7" s="4" t="str">
        <f t="shared" si="3"/>
        <v>FEB</v>
      </c>
    </row>
    <row r="8" spans="1:10" x14ac:dyDescent="0.3">
      <c r="A8" s="4" t="s">
        <v>30</v>
      </c>
      <c r="B8" s="4" t="s">
        <v>31</v>
      </c>
      <c r="C8" s="4" t="s">
        <v>32</v>
      </c>
      <c r="D8" s="4">
        <v>70</v>
      </c>
      <c r="E8" s="4" t="s">
        <v>19</v>
      </c>
      <c r="F8" s="7">
        <v>55</v>
      </c>
      <c r="G8" s="4" t="str">
        <f t="shared" si="0"/>
        <v>Standard Price</v>
      </c>
      <c r="H8" s="4" t="str">
        <f t="shared" si="1"/>
        <v>09</v>
      </c>
      <c r="I8" s="4" t="str">
        <f t="shared" si="2"/>
        <v>IN</v>
      </c>
      <c r="J8" s="4" t="str">
        <f t="shared" si="3"/>
        <v>FEB</v>
      </c>
    </row>
    <row r="9" spans="1:10" x14ac:dyDescent="0.3">
      <c r="A9" s="4" t="s">
        <v>33</v>
      </c>
      <c r="B9" s="4" t="s">
        <v>34</v>
      </c>
      <c r="C9" s="4" t="s">
        <v>35</v>
      </c>
      <c r="D9" s="4">
        <v>40</v>
      </c>
      <c r="E9" s="4" t="s">
        <v>12</v>
      </c>
      <c r="F9" s="7">
        <v>89.99</v>
      </c>
      <c r="G9" s="4" t="str">
        <f t="shared" si="0"/>
        <v>Standard Price</v>
      </c>
      <c r="H9" s="4" t="str">
        <f t="shared" si="1"/>
        <v>14</v>
      </c>
      <c r="I9" s="4" t="str">
        <f t="shared" si="2"/>
        <v>AU</v>
      </c>
      <c r="J9" s="4" t="str">
        <f t="shared" si="3"/>
        <v>FEB</v>
      </c>
    </row>
    <row r="10" spans="1:10" x14ac:dyDescent="0.3">
      <c r="A10" s="4" t="s">
        <v>36</v>
      </c>
      <c r="B10" s="4" t="s">
        <v>37</v>
      </c>
      <c r="C10" s="4" t="s">
        <v>22</v>
      </c>
      <c r="D10" s="4">
        <v>150</v>
      </c>
      <c r="E10" s="4" t="s">
        <v>38</v>
      </c>
      <c r="F10" s="7">
        <v>18.25</v>
      </c>
      <c r="G10" s="4" t="str">
        <f t="shared" si="0"/>
        <v>Standard Price</v>
      </c>
      <c r="H10" s="4" t="str">
        <f t="shared" si="1"/>
        <v>19</v>
      </c>
      <c r="I10" s="4" t="str">
        <f t="shared" si="2"/>
        <v>UK</v>
      </c>
      <c r="J10" s="4" t="str">
        <f t="shared" si="3"/>
        <v>FEB</v>
      </c>
    </row>
    <row r="11" spans="1:10" x14ac:dyDescent="0.3">
      <c r="A11" s="4" t="s">
        <v>39</v>
      </c>
      <c r="B11" s="4" t="s">
        <v>40</v>
      </c>
      <c r="C11" s="4" t="s">
        <v>41</v>
      </c>
      <c r="D11" s="4">
        <v>25</v>
      </c>
      <c r="E11" s="4" t="s">
        <v>12</v>
      </c>
      <c r="F11" s="7">
        <v>310</v>
      </c>
      <c r="G11" s="4" t="str">
        <f t="shared" si="0"/>
        <v>Standard Price</v>
      </c>
      <c r="H11" s="4" t="str">
        <f t="shared" si="1"/>
        <v>25</v>
      </c>
      <c r="I11" s="4" t="str">
        <f t="shared" si="2"/>
        <v>US</v>
      </c>
      <c r="J11" s="4" t="str">
        <f t="shared" si="3"/>
        <v>FEB</v>
      </c>
    </row>
    <row r="12" spans="1:10" x14ac:dyDescent="0.3">
      <c r="A12" s="4" t="s">
        <v>42</v>
      </c>
      <c r="B12" s="4" t="s">
        <v>43</v>
      </c>
      <c r="C12" s="4" t="s">
        <v>44</v>
      </c>
      <c r="D12" s="4">
        <v>85</v>
      </c>
      <c r="E12" s="4" t="s">
        <v>19</v>
      </c>
      <c r="F12" s="7">
        <v>42</v>
      </c>
      <c r="G12" s="4" t="str">
        <f t="shared" si="0"/>
        <v>Standard Price</v>
      </c>
      <c r="H12" s="4" t="str">
        <f t="shared" si="1"/>
        <v>02</v>
      </c>
      <c r="I12" s="4" t="str">
        <f t="shared" si="2"/>
        <v>CA</v>
      </c>
      <c r="J12" s="4" t="str">
        <f t="shared" si="3"/>
        <v>MAR</v>
      </c>
    </row>
    <row r="13" spans="1:10" x14ac:dyDescent="0.3">
      <c r="A13" s="4" t="s">
        <v>45</v>
      </c>
      <c r="B13" s="4" t="s">
        <v>46</v>
      </c>
      <c r="C13" s="4" t="s">
        <v>47</v>
      </c>
      <c r="D13" s="4">
        <v>20</v>
      </c>
      <c r="E13" s="4" t="s">
        <v>23</v>
      </c>
      <c r="F13" s="7">
        <v>135.5</v>
      </c>
      <c r="G13" s="4" t="str">
        <f t="shared" si="0"/>
        <v>Standard Price</v>
      </c>
      <c r="H13" s="4" t="str">
        <f t="shared" si="1"/>
        <v>08</v>
      </c>
      <c r="I13" s="4" t="str">
        <f t="shared" si="2"/>
        <v>IN</v>
      </c>
      <c r="J13" s="4" t="str">
        <f t="shared" si="3"/>
        <v>MAR</v>
      </c>
    </row>
    <row r="14" spans="1:10" x14ac:dyDescent="0.3">
      <c r="A14" s="4" t="s">
        <v>48</v>
      </c>
      <c r="B14" s="4" t="s">
        <v>49</v>
      </c>
      <c r="C14" s="4" t="s">
        <v>50</v>
      </c>
      <c r="D14" s="4">
        <v>35</v>
      </c>
      <c r="E14" s="4" t="s">
        <v>12</v>
      </c>
      <c r="F14" s="7">
        <v>199.99</v>
      </c>
      <c r="G14" s="4" t="str">
        <f t="shared" si="0"/>
        <v>Standard Price</v>
      </c>
      <c r="H14" s="4" t="str">
        <f t="shared" si="1"/>
        <v>15</v>
      </c>
      <c r="I14" s="4" t="str">
        <f t="shared" si="2"/>
        <v>US</v>
      </c>
      <c r="J14" s="4" t="str">
        <f t="shared" si="3"/>
        <v>MAR</v>
      </c>
    </row>
    <row r="15" spans="1:10" x14ac:dyDescent="0.3">
      <c r="A15" s="4" t="s">
        <v>51</v>
      </c>
      <c r="B15" s="4" t="s">
        <v>52</v>
      </c>
      <c r="C15" s="4" t="s">
        <v>53</v>
      </c>
      <c r="D15" s="4">
        <v>110</v>
      </c>
      <c r="E15" s="4" t="s">
        <v>54</v>
      </c>
      <c r="F15" s="7">
        <v>9.99</v>
      </c>
      <c r="G15" s="4" t="str">
        <f t="shared" si="0"/>
        <v>Standard Price</v>
      </c>
      <c r="H15" s="4" t="str">
        <f t="shared" si="1"/>
        <v>21</v>
      </c>
      <c r="I15" s="4" t="str">
        <f t="shared" si="2"/>
        <v>UK</v>
      </c>
      <c r="J15" s="4" t="str">
        <f t="shared" si="3"/>
        <v>MAR</v>
      </c>
    </row>
    <row r="16" spans="1:10" x14ac:dyDescent="0.3">
      <c r="A16" s="4" t="s">
        <v>55</v>
      </c>
      <c r="B16" s="4" t="s">
        <v>56</v>
      </c>
      <c r="C16" s="4" t="s">
        <v>22</v>
      </c>
      <c r="D16" s="4">
        <v>12</v>
      </c>
      <c r="E16" s="4" t="s">
        <v>23</v>
      </c>
      <c r="F16" s="7">
        <v>420</v>
      </c>
      <c r="G16" s="4" t="str">
        <f t="shared" si="0"/>
        <v>Standard Price</v>
      </c>
      <c r="H16" s="4" t="str">
        <f t="shared" si="1"/>
        <v>27</v>
      </c>
      <c r="I16" s="4" t="str">
        <f t="shared" si="2"/>
        <v>AU</v>
      </c>
      <c r="J16" s="4" t="str">
        <f t="shared" si="3"/>
        <v>MAR</v>
      </c>
    </row>
    <row r="17" spans="1:10" x14ac:dyDescent="0.3">
      <c r="A17" s="4" t="s">
        <v>57</v>
      </c>
      <c r="B17" s="4" t="s">
        <v>58</v>
      </c>
      <c r="C17" s="4" t="s">
        <v>59</v>
      </c>
      <c r="D17" s="4">
        <v>55</v>
      </c>
      <c r="E17" s="4" t="s">
        <v>12</v>
      </c>
      <c r="F17" s="7">
        <v>75</v>
      </c>
      <c r="G17" s="4" t="str">
        <f t="shared" si="0"/>
        <v>Standard Price</v>
      </c>
      <c r="H17" s="4" t="str">
        <f t="shared" si="1"/>
        <v>02</v>
      </c>
      <c r="I17" s="4" t="str">
        <f t="shared" si="2"/>
        <v>US</v>
      </c>
      <c r="J17" s="4" t="str">
        <f t="shared" si="3"/>
        <v>APR</v>
      </c>
    </row>
    <row r="18" spans="1:10" x14ac:dyDescent="0.3">
      <c r="A18" s="4" t="s">
        <v>60</v>
      </c>
      <c r="B18" s="4" t="s">
        <v>61</v>
      </c>
      <c r="C18" s="4" t="s">
        <v>62</v>
      </c>
      <c r="D18" s="4">
        <v>130</v>
      </c>
      <c r="E18" s="4" t="s">
        <v>63</v>
      </c>
      <c r="F18" s="7">
        <v>15.75</v>
      </c>
      <c r="G18" s="4" t="str">
        <f t="shared" si="0"/>
        <v>Standard Price</v>
      </c>
      <c r="H18" s="4" t="str">
        <f t="shared" si="1"/>
        <v>07</v>
      </c>
      <c r="I18" s="4" t="str">
        <f t="shared" si="2"/>
        <v>IN</v>
      </c>
      <c r="J18" s="4" t="str">
        <f t="shared" si="3"/>
        <v>APR</v>
      </c>
    </row>
    <row r="19" spans="1:10" x14ac:dyDescent="0.3">
      <c r="A19" s="4" t="s">
        <v>64</v>
      </c>
      <c r="B19" s="4" t="s">
        <v>65</v>
      </c>
      <c r="C19" s="4" t="s">
        <v>66</v>
      </c>
      <c r="D19" s="4">
        <v>65</v>
      </c>
      <c r="E19" s="4" t="s">
        <v>67</v>
      </c>
      <c r="F19" s="7">
        <v>38.5</v>
      </c>
      <c r="G19" s="4" t="str">
        <f t="shared" si="0"/>
        <v>Standard Price</v>
      </c>
      <c r="H19" s="4" t="str">
        <f t="shared" si="1"/>
        <v>13</v>
      </c>
      <c r="I19" s="4" t="str">
        <f t="shared" si="2"/>
        <v>CA</v>
      </c>
      <c r="J19" s="4" t="str">
        <f t="shared" si="3"/>
        <v>APR</v>
      </c>
    </row>
    <row r="20" spans="1:10" x14ac:dyDescent="0.3">
      <c r="A20" s="4" t="s">
        <v>68</v>
      </c>
      <c r="B20" s="4" t="s">
        <v>69</v>
      </c>
      <c r="C20" s="4" t="s">
        <v>26</v>
      </c>
      <c r="D20" s="4">
        <v>45</v>
      </c>
      <c r="E20" s="4" t="s">
        <v>38</v>
      </c>
      <c r="F20" s="7">
        <v>52.3</v>
      </c>
      <c r="G20" s="4" t="str">
        <f t="shared" si="0"/>
        <v>Standard Price</v>
      </c>
      <c r="H20" s="4" t="str">
        <f t="shared" si="1"/>
        <v>19</v>
      </c>
      <c r="I20" s="4" t="str">
        <f t="shared" si="2"/>
        <v>UK</v>
      </c>
      <c r="J20" s="4" t="str">
        <f t="shared" si="3"/>
        <v>APR</v>
      </c>
    </row>
    <row r="21" spans="1:10" x14ac:dyDescent="0.3">
      <c r="A21" s="4" t="s">
        <v>70</v>
      </c>
      <c r="B21" s="4" t="s">
        <v>71</v>
      </c>
      <c r="C21" s="4" t="s">
        <v>72</v>
      </c>
      <c r="D21" s="4">
        <v>70</v>
      </c>
      <c r="E21" s="4" t="s">
        <v>12</v>
      </c>
      <c r="F21" s="7">
        <v>95</v>
      </c>
      <c r="G21" s="4" t="str">
        <f t="shared" si="0"/>
        <v>Standard Price</v>
      </c>
      <c r="H21" s="4" t="str">
        <f t="shared" si="1"/>
        <v>24</v>
      </c>
      <c r="I21" s="4" t="str">
        <f t="shared" si="2"/>
        <v>US</v>
      </c>
      <c r="J21" s="4" t="str">
        <f t="shared" si="3"/>
        <v>APR</v>
      </c>
    </row>
    <row r="22" spans="1:10" x14ac:dyDescent="0.3">
      <c r="A22" s="4" t="s">
        <v>73</v>
      </c>
      <c r="B22" s="4" t="s">
        <v>74</v>
      </c>
      <c r="C22" s="4" t="s">
        <v>75</v>
      </c>
      <c r="D22" s="4">
        <v>95</v>
      </c>
      <c r="E22" s="4" t="s">
        <v>67</v>
      </c>
      <c r="F22" s="7">
        <v>34.99</v>
      </c>
      <c r="G22" s="4" t="str">
        <f t="shared" si="0"/>
        <v>Standard Price</v>
      </c>
      <c r="H22" s="4" t="str">
        <f t="shared" si="1"/>
        <v>30</v>
      </c>
      <c r="I22" s="4" t="str">
        <f t="shared" si="2"/>
        <v>AU</v>
      </c>
      <c r="J22" s="4" t="str">
        <f t="shared" si="3"/>
        <v>APR</v>
      </c>
    </row>
    <row r="23" spans="1:10" x14ac:dyDescent="0.3">
      <c r="A23" s="4" t="s">
        <v>76</v>
      </c>
      <c r="B23" s="4" t="s">
        <v>77</v>
      </c>
      <c r="C23" s="4" t="s">
        <v>26</v>
      </c>
      <c r="D23" s="4">
        <v>30</v>
      </c>
      <c r="E23" s="4" t="s">
        <v>38</v>
      </c>
      <c r="F23" s="7">
        <v>110</v>
      </c>
      <c r="G23" s="4" t="str">
        <f t="shared" si="0"/>
        <v>Standard Price</v>
      </c>
      <c r="H23" s="4" t="str">
        <f t="shared" si="1"/>
        <v>05</v>
      </c>
      <c r="I23" s="4" t="str">
        <f t="shared" si="2"/>
        <v>IN</v>
      </c>
      <c r="J23" s="4" t="str">
        <f t="shared" si="3"/>
        <v>MAY</v>
      </c>
    </row>
    <row r="24" spans="1:10" x14ac:dyDescent="0.3">
      <c r="A24" s="4" t="s">
        <v>78</v>
      </c>
      <c r="B24" s="4" t="s">
        <v>79</v>
      </c>
      <c r="C24" s="4" t="s">
        <v>22</v>
      </c>
      <c r="D24" s="4">
        <v>18</v>
      </c>
      <c r="E24" s="4" t="s">
        <v>23</v>
      </c>
      <c r="F24" s="7">
        <v>89</v>
      </c>
      <c r="G24" s="4" t="str">
        <f t="shared" si="0"/>
        <v>Standard Price</v>
      </c>
      <c r="H24" s="4" t="str">
        <f t="shared" si="1"/>
        <v>11</v>
      </c>
      <c r="I24" s="4" t="str">
        <f t="shared" si="2"/>
        <v>US</v>
      </c>
      <c r="J24" s="4" t="str">
        <f t="shared" si="3"/>
        <v>MAY</v>
      </c>
    </row>
    <row r="25" spans="1:10" x14ac:dyDescent="0.3">
      <c r="A25" s="4" t="s">
        <v>80</v>
      </c>
      <c r="B25" s="4" t="s">
        <v>81</v>
      </c>
      <c r="C25" s="4" t="s">
        <v>15</v>
      </c>
      <c r="D25" s="4">
        <v>140</v>
      </c>
      <c r="E25" s="4" t="s">
        <v>12</v>
      </c>
      <c r="F25" s="7">
        <v>29.99</v>
      </c>
      <c r="G25" s="4" t="str">
        <f t="shared" si="0"/>
        <v>Standard Price</v>
      </c>
      <c r="H25" s="4" t="str">
        <f t="shared" si="1"/>
        <v>16</v>
      </c>
      <c r="I25" s="4" t="str">
        <f t="shared" si="2"/>
        <v>UK</v>
      </c>
      <c r="J25" s="4" t="str">
        <f t="shared" si="3"/>
        <v>MAY</v>
      </c>
    </row>
    <row r="26" spans="1:10" x14ac:dyDescent="0.3">
      <c r="A26" s="4" t="s">
        <v>82</v>
      </c>
      <c r="B26" s="4" t="s">
        <v>83</v>
      </c>
      <c r="C26" s="4" t="s">
        <v>84</v>
      </c>
      <c r="D26" s="4">
        <v>75</v>
      </c>
      <c r="E26" s="4" t="s">
        <v>19</v>
      </c>
      <c r="F26" s="7">
        <v>68</v>
      </c>
      <c r="G26" s="4" t="str">
        <f t="shared" si="0"/>
        <v>Standard Price</v>
      </c>
      <c r="H26" s="4" t="str">
        <f t="shared" si="1"/>
        <v>22</v>
      </c>
      <c r="I26" s="4" t="str">
        <f t="shared" si="2"/>
        <v>CA</v>
      </c>
      <c r="J26" s="4" t="str">
        <f t="shared" si="3"/>
        <v>MAY</v>
      </c>
    </row>
    <row r="27" spans="1:10" x14ac:dyDescent="0.3">
      <c r="A27" s="4" t="s">
        <v>85</v>
      </c>
      <c r="B27" s="4" t="s">
        <v>86</v>
      </c>
      <c r="C27" s="4" t="s">
        <v>41</v>
      </c>
      <c r="D27" s="4">
        <v>22</v>
      </c>
      <c r="E27" s="4" t="s">
        <v>12</v>
      </c>
      <c r="F27" s="7">
        <v>650</v>
      </c>
      <c r="G27" s="4" t="str">
        <f t="shared" si="0"/>
        <v>High Price</v>
      </c>
      <c r="H27" s="4" t="str">
        <f t="shared" si="1"/>
        <v>28</v>
      </c>
      <c r="I27" s="4" t="str">
        <f t="shared" si="2"/>
        <v>US</v>
      </c>
      <c r="J27" s="4" t="str">
        <f t="shared" si="3"/>
        <v>MAY</v>
      </c>
    </row>
    <row r="28" spans="1:10" x14ac:dyDescent="0.3">
      <c r="A28" s="4" t="s">
        <v>87</v>
      </c>
      <c r="B28" s="4" t="s">
        <v>88</v>
      </c>
      <c r="C28" s="4" t="s">
        <v>47</v>
      </c>
      <c r="D28" s="4">
        <v>10</v>
      </c>
      <c r="E28" s="4" t="s">
        <v>23</v>
      </c>
      <c r="F28" s="7">
        <v>275</v>
      </c>
      <c r="G28" s="4" t="str">
        <f t="shared" si="0"/>
        <v>Standard Price</v>
      </c>
      <c r="H28" s="4" t="str">
        <f t="shared" si="1"/>
        <v>03</v>
      </c>
      <c r="I28" s="4" t="str">
        <f t="shared" si="2"/>
        <v>IN</v>
      </c>
      <c r="J28" s="4" t="str">
        <f t="shared" si="3"/>
        <v>JUN</v>
      </c>
    </row>
    <row r="29" spans="1:10" x14ac:dyDescent="0.3">
      <c r="A29" s="4" t="s">
        <v>89</v>
      </c>
      <c r="B29" s="4" t="s">
        <v>90</v>
      </c>
      <c r="C29" s="4" t="s">
        <v>91</v>
      </c>
      <c r="D29" s="4">
        <v>85</v>
      </c>
      <c r="E29" s="4" t="s">
        <v>54</v>
      </c>
      <c r="F29" s="7">
        <v>19.5</v>
      </c>
      <c r="G29" s="4" t="str">
        <f t="shared" si="0"/>
        <v>Standard Price</v>
      </c>
      <c r="H29" s="4" t="str">
        <f t="shared" si="1"/>
        <v>09</v>
      </c>
      <c r="I29" s="4" t="str">
        <f t="shared" si="2"/>
        <v>UK</v>
      </c>
      <c r="J29" s="4" t="str">
        <f t="shared" si="3"/>
        <v>JUN</v>
      </c>
    </row>
    <row r="30" spans="1:10" x14ac:dyDescent="0.3">
      <c r="A30" s="4" t="s">
        <v>92</v>
      </c>
      <c r="B30" s="4" t="s">
        <v>93</v>
      </c>
      <c r="C30" s="4" t="s">
        <v>94</v>
      </c>
      <c r="D30" s="4">
        <v>28</v>
      </c>
      <c r="E30" s="4" t="s">
        <v>12</v>
      </c>
      <c r="F30" s="7">
        <v>220</v>
      </c>
      <c r="G30" s="4" t="str">
        <f t="shared" si="0"/>
        <v>Standard Price</v>
      </c>
      <c r="H30" s="4" t="str">
        <f t="shared" si="1"/>
        <v>14</v>
      </c>
      <c r="I30" s="4" t="str">
        <f t="shared" si="2"/>
        <v>AU</v>
      </c>
      <c r="J30" s="4" t="str">
        <f t="shared" si="3"/>
        <v>JUN</v>
      </c>
    </row>
    <row r="31" spans="1:10" x14ac:dyDescent="0.3">
      <c r="A31" s="4" t="s">
        <v>95</v>
      </c>
      <c r="B31" s="4" t="s">
        <v>96</v>
      </c>
      <c r="C31" s="4" t="s">
        <v>97</v>
      </c>
      <c r="D31" s="4">
        <v>40</v>
      </c>
      <c r="E31" s="4" t="s">
        <v>38</v>
      </c>
      <c r="F31" s="7">
        <v>64</v>
      </c>
      <c r="G31" s="4" t="str">
        <f t="shared" si="0"/>
        <v>Standard Price</v>
      </c>
      <c r="H31" s="4" t="str">
        <f t="shared" si="1"/>
        <v>20</v>
      </c>
      <c r="I31" s="4" t="str">
        <f t="shared" si="2"/>
        <v>US</v>
      </c>
      <c r="J31" s="4" t="str">
        <f t="shared" si="3"/>
        <v>JUN</v>
      </c>
    </row>
    <row r="34" spans="1:4" ht="16.8" x14ac:dyDescent="0.3">
      <c r="A34" s="2" t="s">
        <v>98</v>
      </c>
      <c r="B34" s="2"/>
    </row>
    <row r="35" spans="1:4" x14ac:dyDescent="0.3">
      <c r="A35" s="1" t="s">
        <v>99</v>
      </c>
      <c r="B35" s="1"/>
      <c r="C35" s="1"/>
      <c r="D35" s="8">
        <f>SUM(F2:F31)</f>
        <v>3413.38</v>
      </c>
    </row>
    <row r="36" spans="1:4" x14ac:dyDescent="0.3">
      <c r="A36" s="1" t="s">
        <v>100</v>
      </c>
      <c r="B36" s="1"/>
      <c r="C36" s="1"/>
      <c r="D36" s="6">
        <f>COUNT(F2:F31)</f>
        <v>30</v>
      </c>
    </row>
    <row r="37" spans="1:4" x14ac:dyDescent="0.3">
      <c r="A37" s="1" t="s">
        <v>101</v>
      </c>
      <c r="B37" s="1"/>
      <c r="C37" s="1"/>
      <c r="D37" s="8">
        <f>AVERAGE(F2:F31)</f>
        <v>113.77933333333334</v>
      </c>
    </row>
    <row r="38" spans="1:4" x14ac:dyDescent="0.3">
      <c r="A38" s="1" t="s">
        <v>102</v>
      </c>
      <c r="B38" s="1"/>
      <c r="C38" s="1"/>
      <c r="D38" s="5">
        <f>MIN(F2:F31)</f>
        <v>9.99</v>
      </c>
    </row>
    <row r="39" spans="1:4" x14ac:dyDescent="0.3">
      <c r="A39" s="1" t="s">
        <v>103</v>
      </c>
      <c r="B39" s="1"/>
      <c r="C39" s="1"/>
      <c r="D39" s="8">
        <f>MAX(F2:F31)</f>
        <v>650</v>
      </c>
    </row>
    <row r="40" spans="1:4" x14ac:dyDescent="0.3">
      <c r="A40" s="1" t="s">
        <v>104</v>
      </c>
      <c r="B40" s="1"/>
      <c r="C40" s="1"/>
      <c r="D40" s="8">
        <f>SUMIF(E2:E31,"Electronics",F2:F31)</f>
        <v>1802.6100000000001</v>
      </c>
    </row>
    <row r="41" spans="1:4" x14ac:dyDescent="0.3">
      <c r="A41" s="1" t="s">
        <v>105</v>
      </c>
      <c r="B41" s="1"/>
      <c r="C41" s="1"/>
      <c r="D41" s="6">
        <f>COUNTIF(F2:F31,"&lt;100")</f>
        <v>21</v>
      </c>
    </row>
  </sheetData>
  <mergeCells count="8">
    <mergeCell ref="A39:C39"/>
    <mergeCell ref="A40:C40"/>
    <mergeCell ref="A41:C41"/>
    <mergeCell ref="A34:B34"/>
    <mergeCell ref="A35:C35"/>
    <mergeCell ref="A36:C36"/>
    <mergeCell ref="A37:C37"/>
    <mergeCell ref="A38:C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Dhanush E.K.</cp:lastModifiedBy>
  <cp:revision>0</cp:revision>
  <dcterms:created xsi:type="dcterms:W3CDTF">2026-09-23T12:09:08Z</dcterms:created>
  <dcterms:modified xsi:type="dcterms:W3CDTF">2026-09-23T14:41:29Z</dcterms:modified>
  <dc:language>en-US</dc:language>
</cp:coreProperties>
</file>